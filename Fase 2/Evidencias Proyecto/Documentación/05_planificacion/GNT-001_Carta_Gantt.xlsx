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Hitos" sheetId="2" state="visible" r:id="rId4"/>
    <sheet name="Plan de trabajo" sheetId="3" state="visible" r:id="rId5"/>
    <sheet name="Sprints" sheetId="4" state="visible" r:id="rId6"/>
  </sheets>
  <definedNames>
    <definedName function="false" hidden="false" localSheetId="0" name="_xlnm.Print_Area" vbProcedure="false">'Carta Gantt'!$A$1:$AA$34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Semana 1 del proyecto: lunes 10-08-2026. Cambiar esta fecha desplaza todo el calendario.</t>
        </r>
      </text>
    </comment>
    <comment ref="C4" authorId="0">
      <text>
        <r>
          <rPr>
            <sz val="10"/>
            <rFont val="Arial"/>
            <family val="2"/>
          </rPr>
          <t xml:space="preserve">Cambiar esta fecha para actualizar la semana actual y las barras de avance real.</t>
        </r>
      </text>
    </comment>
  </commentList>
</comments>
</file>

<file path=xl/sharedStrings.xml><?xml version="1.0" encoding="utf-8"?>
<sst xmlns="http://schemas.openxmlformats.org/spreadsheetml/2006/main" count="208" uniqueCount="151">
  <si>
    <t xml:space="preserve">CARTA GANTT · CRM EASY OFFICE</t>
  </si>
  <si>
    <t xml:space="preserve">Planificación macro de 18 semanas · línea base (Plan) y avance real (Real). La ejecución operativa se gestiona con Scrum en GitHub Projects.</t>
  </si>
  <si>
    <t xml:space="preserve">Inicio del proyecto (lunes S1)</t>
  </si>
  <si>
    <t xml:space="preserve">Semana actual</t>
  </si>
  <si>
    <t xml:space="preserve">Fecha de corte del avance</t>
  </si>
  <si>
    <t xml:space="preserve">Semana inicio Sprint 1</t>
  </si>
  <si>
    <t xml:space="preserve">Celdas en azul con fondo amarillo = datos a editar · Barra clara = Plan · Barra oscura = Real · Línea roja = semana actual · ◆ = hito</t>
  </si>
  <si>
    <t xml:space="preserve">N°</t>
  </si>
  <si>
    <t xml:space="preserve">Actividad</t>
  </si>
  <si>
    <t xml:space="preserve">Responsable</t>
  </si>
  <si>
    <t xml:space="preserve">Línea</t>
  </si>
  <si>
    <t xml:space="preserve">Inicio</t>
  </si>
  <si>
    <t xml:space="preserve">Fin</t>
  </si>
  <si>
    <t xml:space="preserve">Estado</t>
  </si>
  <si>
    <t xml:space="preserve">Desv. (sem)</t>
  </si>
  <si>
    <t xml:space="preserve">Nota</t>
  </si>
  <si>
    <t xml:space="preserve">ETAPA 1 · DEFINICIÓN</t>
  </si>
  <si>
    <t xml:space="preserve">ETAPA 2 · CONSTRUCCIÓN</t>
  </si>
  <si>
    <t xml:space="preserve">ETAPA 3 · CIERRE</t>
  </si>
  <si>
    <t xml:space="preserve">Lunes de cada semana</t>
  </si>
  <si>
    <t xml:space="preserve">Sprints de 2 semanas</t>
  </si>
  <si>
    <t xml:space="preserve">Hitos (ver hoja Hitos)</t>
  </si>
  <si>
    <t xml:space="preserve">Levantamiento y validación de requerimientos</t>
  </si>
  <si>
    <t xml:space="preserve">Fernando / Equipo</t>
  </si>
  <si>
    <t xml:space="preserve">Plan</t>
  </si>
  <si>
    <t xml:space="preserve">Completado</t>
  </si>
  <si>
    <t xml:space="preserve">Especificaciones en S7. Validación con Easy Office el 08-10 (S9, ACTA-002).</t>
  </si>
  <si>
    <t xml:space="preserve">Real</t>
  </si>
  <si>
    <t xml:space="preserve">Product Vision, MVP y Product Backlog</t>
  </si>
  <si>
    <t xml:space="preserve">Versión 2.0 tras incorporar las especificaciones formales.</t>
  </si>
  <si>
    <t xml:space="preserve">Mockups y validación de flujos</t>
  </si>
  <si>
    <t xml:space="preserve">Marcos</t>
  </si>
  <si>
    <t xml:space="preserve">En curso · validación pendiente</t>
  </si>
  <si>
    <t xml:space="preserve">Prototipo de 8 pantallas listo; falta validarlo con la contraparte.</t>
  </si>
  <si>
    <t xml:space="preserve">Arquitectura y seguridad</t>
  </si>
  <si>
    <t xml:space="preserve">Fernando</t>
  </si>
  <si>
    <t xml:space="preserve">Completado (v1.0)</t>
  </si>
  <si>
    <t xml:space="preserve">Dos semanas de atraso: se esperaron las especificaciones formales.</t>
  </si>
  <si>
    <t xml:space="preserve">Modelo de datos y estrategia de migración</t>
  </si>
  <si>
    <t xml:space="preserve">Nicolás</t>
  </si>
  <si>
    <t xml:space="preserve">Una semana de atraso. Ajustes al recibir la planilla Excel.</t>
  </si>
  <si>
    <t xml:space="preserve">Implementación del núcleo interno</t>
  </si>
  <si>
    <t xml:space="preserve">Equipo</t>
  </si>
  <si>
    <t xml:space="preserve">En curso · Sprint 2</t>
  </si>
  <si>
    <t xml:space="preserve">Inicio real con el Sprint 1 el 22-09.</t>
  </si>
  <si>
    <t xml:space="preserve">Automatización documental</t>
  </si>
  <si>
    <t xml:space="preserve">Fernando / Nicolás</t>
  </si>
  <si>
    <t xml:space="preserve">No iniciada</t>
  </si>
  <si>
    <t xml:space="preserve">Depende de las plantillas de Easy Office.</t>
  </si>
  <si>
    <t xml:space="preserve">Integración firma electrónica y pagos</t>
  </si>
  <si>
    <t xml:space="preserve">Depende de credenciales y proveedor de pago.</t>
  </si>
  <si>
    <t xml:space="preserve">Pruebas, correcciones y validación</t>
  </si>
  <si>
    <t xml:space="preserve">Pruebas unitarias dentro de cada sprint desde S7.</t>
  </si>
  <si>
    <t xml:space="preserve">Despliegue y documentación técnica</t>
  </si>
  <si>
    <t xml:space="preserve">Alojamiento pendiente de definir con Easy Office.</t>
  </si>
  <si>
    <t xml:space="preserve">Cierre, entrega y traspaso</t>
  </si>
  <si>
    <t xml:space="preserve">Requiere MVP estable antes de la demostración final.</t>
  </si>
  <si>
    <t xml:space="preserve">Desv. (sem): semanas de atraso respecto del plan. En actividades terminadas, fin real contra fin planificado; en curso, el mayor entre el atraso de inicio y la semana actual contra el fin planificado; no iniciadas, semanas transcurridas desde el inicio planificado. Línea base: planificación aprobada en el hito H1.</t>
  </si>
  <si>
    <t xml:space="preserve">HITOS DE AVANCE</t>
  </si>
  <si>
    <t xml:space="preserve">Hito</t>
  </si>
  <si>
    <t xml:space="preserve">Semana</t>
  </si>
  <si>
    <t xml:space="preserve">Fecha</t>
  </si>
  <si>
    <t xml:space="preserve">Descripción</t>
  </si>
  <si>
    <t xml:space="preserve">Observación</t>
  </si>
  <si>
    <t xml:space="preserve">H1</t>
  </si>
  <si>
    <t xml:space="preserve">Definición del proyecto aprobada: visión, alcance preliminar y planificación</t>
  </si>
  <si>
    <t xml:space="preserve">Cumplido</t>
  </si>
  <si>
    <t xml:space="preserve">Presentada el 10-09.</t>
  </si>
  <si>
    <t xml:space="preserve">H2</t>
  </si>
  <si>
    <t xml:space="preserve">Requerimientos y mockups validados con Easy Office</t>
  </si>
  <si>
    <t xml:space="preserve">Realizada el 08-10-2026 (S9). Ver ACTA-002.</t>
  </si>
  <si>
    <t xml:space="preserve">H3</t>
  </si>
  <si>
    <t xml:space="preserve">Modelo de datos y arquitectura congelados</t>
  </si>
  <si>
    <t xml:space="preserve">En curso</t>
  </si>
  <si>
    <t xml:space="preserve">Versiones 1.0 emitidas; se congelan tras la validación.</t>
  </si>
  <si>
    <t xml:space="preserve">H4</t>
  </si>
  <si>
    <t xml:space="preserve">Núcleo interno operativo (revisión de avance con Easy Office)</t>
  </si>
  <si>
    <t xml:space="preserve">Pendiente</t>
  </si>
  <si>
    <t xml:space="preserve">H5</t>
  </si>
  <si>
    <t xml:space="preserve">Migración Excel → PostgreSQL ejecutada</t>
  </si>
  <si>
    <t xml:space="preserve">Depende de la entrega de la planilla.</t>
  </si>
  <si>
    <t xml:space="preserve">H6</t>
  </si>
  <si>
    <t xml:space="preserve">Primer trámite completo de extremo a extremo</t>
  </si>
  <si>
    <t xml:space="preserve">H7</t>
  </si>
  <si>
    <t xml:space="preserve">Integraciones en prueba y batería de pruebas</t>
  </si>
  <si>
    <t xml:space="preserve">H8</t>
  </si>
  <si>
    <t xml:space="preserve">MVP congelado y documentación técnica entregada</t>
  </si>
  <si>
    <t xml:space="preserve">H9</t>
  </si>
  <si>
    <t xml:space="preserve">Demostración final del MVP a Easy Office</t>
  </si>
  <si>
    <t xml:space="preserve">H10</t>
  </si>
  <si>
    <t xml:space="preserve">Cierre del proyecto y traspaso a Easy Office</t>
  </si>
  <si>
    <t xml:space="preserve">Fecha = sábado de la semana indicada. Fuente: planificación del proyecto.</t>
  </si>
  <si>
    <t xml:space="preserve">PLAN DE TRABAJO · 11 ACTIVIDADES</t>
  </si>
  <si>
    <t xml:space="preserve">Recursos</t>
  </si>
  <si>
    <t xml:space="preserve">Semanas</t>
  </si>
  <si>
    <t xml:space="preserve">Facilitadores</t>
  </si>
  <si>
    <t xml:space="preserve">Obstaculizadores</t>
  </si>
  <si>
    <t xml:space="preserve">Analizar entrevistas, requerimiento general, procesos actuales, actores, restricciones y dudas; validar con la contraparte.</t>
  </si>
  <si>
    <t xml:space="preserve">Reuniones, transcripciones, herramientas de modelado</t>
  </si>
  <si>
    <t xml:space="preserve">Contraparte comprometida y con proceso definido</t>
  </si>
  <si>
    <t xml:space="preserve">Disponibilidad de Easy Office y entrega de antecedentes</t>
  </si>
  <si>
    <t xml:space="preserve">Priorizar funcionalidades y separar procesos automáticos, asistidos y fuera de alcance.</t>
  </si>
  <si>
    <t xml:space="preserve">Backlog, GitHub Projects, documentación</t>
  </si>
  <si>
    <t xml:space="preserve">Especificaciones formales de la contraparte</t>
  </si>
  <si>
    <t xml:space="preserve">Validación de alcance con Easy Office</t>
  </si>
  <si>
    <t xml:space="preserve">Diseñar pantallas y flujos del portal cliente y backoffice; presentarlos a la contraparte.</t>
  </si>
  <si>
    <t xml:space="preserve">Herramienta de prototipado</t>
  </si>
  <si>
    <t xml:space="preserve">Experiencia del equipo en UX/UI</t>
  </si>
  <si>
    <t xml:space="preserve">Cambios según retroalimentación; agenda de la contraparte</t>
  </si>
  <si>
    <t xml:space="preserve">Definir componentes, API, autenticación, roles y permisos, auditoría e integraciones.</t>
  </si>
  <si>
    <t xml:space="preserve">Diagramas, documentación técnica</t>
  </si>
  <si>
    <t xml:space="preserve">Stack conocido por el equipo</t>
  </si>
  <si>
    <t xml:space="preserve">Proveedor de firma y pago puede modificar integraciones</t>
  </si>
  <si>
    <t xml:space="preserve">Diseñar el modelo relacional y la estrategia para migrar datos desde Excel.</t>
  </si>
  <si>
    <t xml:space="preserve">PostgreSQL, herramienta ER</t>
  </si>
  <si>
    <t xml:space="preserve">Experiencia del equipo en PostgreSQL</t>
  </si>
  <si>
    <t xml:space="preserve">Estructura y calidad de la planilla actual</t>
  </si>
  <si>
    <t xml:space="preserve">Construir autenticación, usuarios, roles, clientes, servicios, estados y auditoría.</t>
  </si>
  <si>
    <t xml:space="preserve">Django, DRF, React, Git, Docker</t>
  </si>
  <si>
    <t xml:space="preserve">Scaffold y entorno contenerizado</t>
  </si>
  <si>
    <t xml:space="preserve">Dedicación parcial del equipo</t>
  </si>
  <si>
    <t xml:space="preserve">Implementar formularios configurables, plantillas y generación de documentos priorizados.</t>
  </si>
  <si>
    <t xml:space="preserve">Motor de plantillas, librerías PDF/DOCX</t>
  </si>
  <si>
    <t xml:space="preserve">Documentos legales ya estandarizados por la contraparte</t>
  </si>
  <si>
    <t xml:space="preserve">Entrega y formato de las plantillas</t>
  </si>
  <si>
    <t xml:space="preserve">Integrar los servicios externos o implementar la capa desacoplada en ambiente de prueba.</t>
  </si>
  <si>
    <t xml:space="preserve">API del proveedor, sandbox, documentación</t>
  </si>
  <si>
    <t xml:space="preserve">Interfaces desacopladas ya diseñadas</t>
  </si>
  <si>
    <t xml:space="preserve">Credenciales, API y decisión del proveedor de pago</t>
  </si>
  <si>
    <t xml:space="preserve">Ejecutar pruebas unitarias, de integración, seguridad, rendimiento y aceptación; corregir hallazgos.</t>
  </si>
  <si>
    <t xml:space="preserve">pytest, locust, bandit, checklist</t>
  </si>
  <si>
    <t xml:space="preserve">Pruebas incorporadas a la Definition of Done</t>
  </si>
  <si>
    <t xml:space="preserve">Tiempo disponible antes del cierre</t>
  </si>
  <si>
    <t xml:space="preserve">Contenerizar, configurar el ambiente, actualizar README y manual técnico.</t>
  </si>
  <si>
    <t xml:space="preserve">Docker, GitHub, hosting</t>
  </si>
  <si>
    <t xml:space="preserve">Entorno contenerizado y portable</t>
  </si>
  <si>
    <t xml:space="preserve">Alojamiento sin definir</t>
  </si>
  <si>
    <t xml:space="preserve">Preparar la demostración final, entregar el MVP, la documentación y los accesos, y traspasar la operación a Easy Office.</t>
  </si>
  <si>
    <t xml:space="preserve">Demo, repositorio, manual técnico, acta de entrega</t>
  </si>
  <si>
    <t xml:space="preserve">Evidencia acumulada por sprint</t>
  </si>
  <si>
    <t xml:space="preserve">Requiere MVP estable antes de la demo</t>
  </si>
  <si>
    <t xml:space="preserve">CALENDARIO DE SPRINTS</t>
  </si>
  <si>
    <t xml:space="preserve">Sprint</t>
  </si>
  <si>
    <t xml:space="preserve">Término</t>
  </si>
  <si>
    <t xml:space="preserve">Foco</t>
  </si>
  <si>
    <t xml:space="preserve">Entorno, núcleo de datos y accesos</t>
  </si>
  <si>
    <t xml:space="preserve">Servicios contratados, vigencias y migración</t>
  </si>
  <si>
    <t xml:space="preserve">Motor configurable y generación documental</t>
  </si>
  <si>
    <t xml:space="preserve">Portal de contratación e integraciones</t>
  </si>
  <si>
    <t xml:space="preserve">Pruebas, despliegue y estabilización</t>
  </si>
  <si>
    <t xml:space="preserve">Sprints de dos semanas, de martes a viernes de la semana siguiente. Detalle en SPR-001.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</si>
</sst>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\S0"/>
    <numFmt numFmtId="167" formatCode="dd\-mm"/>
    <numFmt numFmtId="168" formatCode="\+0;\-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2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EDEDED"/>
      </patternFill>
    </fill>
    <fill>
      <patternFill patternType="solid">
        <fgColor rgb="FF5B9BD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D9E1F2"/>
        <bgColor rgb="FFD9D9D9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BDD7EE"/>
        </patternFill>
      </fill>
    </dxf>
    <dxf>
      <fill>
        <patternFill>
          <bgColor rgb="FF1F4E79"/>
        </patternFill>
      </fill>
    </dxf>
    <dxf>
      <border diagonalUp="false" diagonalDown="false">
        <left style="medium">
          <color rgb="FFC00000"/>
        </left>
        <right style="medium">
          <color rgb="FFC00000"/>
        </right>
        <top/>
        <bottom/>
        <diagonal/>
      </border>
    </dxf>
    <dxf>
      <font>
        <name val="Arial"/>
        <charset val="1"/>
        <family val="0"/>
        <b val="1"/>
        <color rgb="FFC00000"/>
        <sz val="9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J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6"/>
    <col collapsed="false" customWidth="true" hidden="false" outlineLevel="0" max="7" min="7" style="0" width="20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27" min="10" style="0" width="4.6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C3" s="5" t="n">
        <v>46244</v>
      </c>
      <c r="F3" s="4" t="s">
        <v>3</v>
      </c>
      <c r="H3" s="4" t="n">
        <f aca="false">INT(($C$4-$C$3)/7)+1</f>
        <v>9</v>
      </c>
    </row>
    <row r="4" customFormat="false" ht="22.35" hidden="false" customHeight="true" outlineLevel="0" collapsed="false">
      <c r="A4" s="4" t="s">
        <v>4</v>
      </c>
      <c r="C4" s="5" t="n">
        <v>46304</v>
      </c>
      <c r="F4" s="4" t="s">
        <v>5</v>
      </c>
      <c r="H4" s="6" t="n">
        <v>7</v>
      </c>
      <c r="J4" s="7" t="s">
        <v>6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6" customFormat="false" ht="22.35" hidden="false" customHeight="tru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9" t="s">
        <v>16</v>
      </c>
      <c r="K6" s="9"/>
      <c r="L6" s="9"/>
      <c r="M6" s="9"/>
      <c r="N6" s="10" t="s">
        <v>17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 t="s">
        <v>18</v>
      </c>
      <c r="Z6" s="11"/>
      <c r="AA6" s="11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12" t="n">
        <v>1</v>
      </c>
      <c r="K7" s="12" t="n">
        <v>2</v>
      </c>
      <c r="L7" s="12" t="n">
        <v>3</v>
      </c>
      <c r="M7" s="12" t="n">
        <v>4</v>
      </c>
      <c r="N7" s="12" t="n">
        <v>5</v>
      </c>
      <c r="O7" s="12" t="n">
        <v>6</v>
      </c>
      <c r="P7" s="12" t="n">
        <v>7</v>
      </c>
      <c r="Q7" s="12" t="n">
        <v>8</v>
      </c>
      <c r="R7" s="12" t="n">
        <v>9</v>
      </c>
      <c r="S7" s="12" t="n">
        <v>10</v>
      </c>
      <c r="T7" s="12" t="n">
        <v>11</v>
      </c>
      <c r="U7" s="12" t="n">
        <v>12</v>
      </c>
      <c r="V7" s="12" t="n">
        <v>13</v>
      </c>
      <c r="W7" s="12" t="n">
        <v>14</v>
      </c>
      <c r="X7" s="12" t="n">
        <v>15</v>
      </c>
      <c r="Y7" s="12" t="n">
        <v>16</v>
      </c>
      <c r="Z7" s="12" t="n">
        <v>17</v>
      </c>
      <c r="AA7" s="12" t="n">
        <v>18</v>
      </c>
    </row>
    <row r="8" customFormat="false" ht="15" hidden="false" customHeight="false" outlineLevel="0" collapsed="false">
      <c r="A8" s="13" t="s">
        <v>19</v>
      </c>
      <c r="B8" s="13"/>
      <c r="C8" s="13"/>
      <c r="D8" s="13"/>
      <c r="E8" s="13"/>
      <c r="F8" s="13"/>
      <c r="G8" s="13"/>
      <c r="H8" s="13"/>
      <c r="I8" s="13"/>
      <c r="J8" s="14" t="n">
        <f aca="false">$C$3+7*(J$7-1)</f>
        <v>46244</v>
      </c>
      <c r="K8" s="14" t="n">
        <f aca="false">$C$3+7*(K$7-1)</f>
        <v>46251</v>
      </c>
      <c r="L8" s="14" t="n">
        <f aca="false">$C$3+7*(L$7-1)</f>
        <v>46258</v>
      </c>
      <c r="M8" s="14" t="n">
        <f aca="false">$C$3+7*(M$7-1)</f>
        <v>46265</v>
      </c>
      <c r="N8" s="14" t="n">
        <f aca="false">$C$3+7*(N$7-1)</f>
        <v>46272</v>
      </c>
      <c r="O8" s="14" t="n">
        <f aca="false">$C$3+7*(O$7-1)</f>
        <v>46279</v>
      </c>
      <c r="P8" s="14" t="n">
        <f aca="false">$C$3+7*(P$7-1)</f>
        <v>46286</v>
      </c>
      <c r="Q8" s="14" t="n">
        <f aca="false">$C$3+7*(Q$7-1)</f>
        <v>46293</v>
      </c>
      <c r="R8" s="14" t="n">
        <f aca="false">$C$3+7*(R$7-1)</f>
        <v>46300</v>
      </c>
      <c r="S8" s="14" t="n">
        <f aca="false">$C$3+7*(S$7-1)</f>
        <v>46307</v>
      </c>
      <c r="T8" s="14" t="n">
        <f aca="false">$C$3+7*(T$7-1)</f>
        <v>46314</v>
      </c>
      <c r="U8" s="14" t="n">
        <f aca="false">$C$3+7*(U$7-1)</f>
        <v>46321</v>
      </c>
      <c r="V8" s="14" t="n">
        <f aca="false">$C$3+7*(V$7-1)</f>
        <v>46328</v>
      </c>
      <c r="W8" s="14" t="n">
        <f aca="false">$C$3+7*(W$7-1)</f>
        <v>46335</v>
      </c>
      <c r="X8" s="14" t="n">
        <f aca="false">$C$3+7*(X$7-1)</f>
        <v>46342</v>
      </c>
      <c r="Y8" s="14" t="n">
        <f aca="false">$C$3+7*(Y$7-1)</f>
        <v>46349</v>
      </c>
      <c r="Z8" s="14" t="n">
        <f aca="false">$C$3+7*(Z$7-1)</f>
        <v>46356</v>
      </c>
      <c r="AA8" s="14" t="n">
        <f aca="false">$C$3+7*(AA$7-1)</f>
        <v>46363</v>
      </c>
    </row>
    <row r="9" customFormat="false" ht="15" hidden="false" customHeight="false" outlineLevel="0" collapsed="false">
      <c r="A9" s="13" t="s">
        <v>20</v>
      </c>
      <c r="B9" s="13"/>
      <c r="C9" s="13"/>
      <c r="D9" s="13"/>
      <c r="E9" s="13"/>
      <c r="F9" s="13"/>
      <c r="G9" s="13"/>
      <c r="H9" s="13"/>
      <c r="I9" s="13"/>
      <c r="J9" s="15" t="str">
        <f aca="false">IF(AND(J$7&gt;=$H$4,J$7&lt;=$H$4+9),"Sp "&amp;(INT((J$7-$H$4)/2)+1),"")</f>
        <v/>
      </c>
      <c r="K9" s="15" t="str">
        <f aca="false">IF(AND(K$7&gt;=$H$4,K$7&lt;=$H$4+9),"Sp "&amp;(INT((K$7-$H$4)/2)+1),"")</f>
        <v/>
      </c>
      <c r="L9" s="15" t="str">
        <f aca="false">IF(AND(L$7&gt;=$H$4,L$7&lt;=$H$4+9),"Sp "&amp;(INT((L$7-$H$4)/2)+1),"")</f>
        <v/>
      </c>
      <c r="M9" s="15" t="str">
        <f aca="false">IF(AND(M$7&gt;=$H$4,M$7&lt;=$H$4+9),"Sp "&amp;(INT((M$7-$H$4)/2)+1),"")</f>
        <v/>
      </c>
      <c r="N9" s="15" t="str">
        <f aca="false">IF(AND(N$7&gt;=$H$4,N$7&lt;=$H$4+9),"Sp "&amp;(INT((N$7-$H$4)/2)+1),"")</f>
        <v/>
      </c>
      <c r="O9" s="15" t="str">
        <f aca="false">IF(AND(O$7&gt;=$H$4,O$7&lt;=$H$4+9),"Sp "&amp;(INT((O$7-$H$4)/2)+1),"")</f>
        <v/>
      </c>
      <c r="P9" s="15" t="str">
        <f aca="false">IF(AND(P$7&gt;=$H$4,P$7&lt;=$H$4+9),"Sp "&amp;(INT((P$7-$H$4)/2)+1),"")</f>
        <v>Sp 1</v>
      </c>
      <c r="Q9" s="15" t="str">
        <f aca="false">IF(AND(Q$7&gt;=$H$4,Q$7&lt;=$H$4+9),"Sp "&amp;(INT((Q$7-$H$4)/2)+1),"")</f>
        <v>Sp 1</v>
      </c>
      <c r="R9" s="15" t="str">
        <f aca="false">IF(AND(R$7&gt;=$H$4,R$7&lt;=$H$4+9),"Sp "&amp;(INT((R$7-$H$4)/2)+1),"")</f>
        <v>Sp 2</v>
      </c>
      <c r="S9" s="15" t="str">
        <f aca="false">IF(AND(S$7&gt;=$H$4,S$7&lt;=$H$4+9),"Sp "&amp;(INT((S$7-$H$4)/2)+1),"")</f>
        <v>Sp 2</v>
      </c>
      <c r="T9" s="15" t="str">
        <f aca="false">IF(AND(T$7&gt;=$H$4,T$7&lt;=$H$4+9),"Sp "&amp;(INT((T$7-$H$4)/2)+1),"")</f>
        <v>Sp 3</v>
      </c>
      <c r="U9" s="15" t="str">
        <f aca="false">IF(AND(U$7&gt;=$H$4,U$7&lt;=$H$4+9),"Sp "&amp;(INT((U$7-$H$4)/2)+1),"")</f>
        <v>Sp 3</v>
      </c>
      <c r="V9" s="15" t="str">
        <f aca="false">IF(AND(V$7&gt;=$H$4,V$7&lt;=$H$4+9),"Sp "&amp;(INT((V$7-$H$4)/2)+1),"")</f>
        <v>Sp 4</v>
      </c>
      <c r="W9" s="15" t="str">
        <f aca="false">IF(AND(W$7&gt;=$H$4,W$7&lt;=$H$4+9),"Sp "&amp;(INT((W$7-$H$4)/2)+1),"")</f>
        <v>Sp 4</v>
      </c>
      <c r="X9" s="15" t="str">
        <f aca="false">IF(AND(X$7&gt;=$H$4,X$7&lt;=$H$4+9),"Sp "&amp;(INT((X$7-$H$4)/2)+1),"")</f>
        <v>Sp 5</v>
      </c>
      <c r="Y9" s="15" t="str">
        <f aca="false">IF(AND(Y$7&gt;=$H$4,Y$7&lt;=$H$4+9),"Sp "&amp;(INT((Y$7-$H$4)/2)+1),"")</f>
        <v>Sp 5</v>
      </c>
      <c r="Z9" s="15" t="str">
        <f aca="false">IF(AND(Z$7&gt;=$H$4,Z$7&lt;=$H$4+9),"Sp "&amp;(INT((Z$7-$H$4)/2)+1),"")</f>
        <v/>
      </c>
      <c r="AA9" s="15" t="str">
        <f aca="false">IF(AND(AA$7&gt;=$H$4,AA$7&lt;=$H$4+9),"Sp "&amp;(INT((AA$7-$H$4)/2)+1),"")</f>
        <v/>
      </c>
    </row>
    <row r="10" customFormat="false" ht="15" hidden="false" customHeight="false" outlineLevel="0" collapsed="false">
      <c r="A10" s="13" t="s">
        <v>21</v>
      </c>
      <c r="B10" s="13"/>
      <c r="C10" s="13"/>
      <c r="D10" s="13"/>
      <c r="E10" s="13"/>
      <c r="F10" s="13"/>
      <c r="G10" s="13"/>
      <c r="H10" s="13"/>
      <c r="I10" s="13"/>
      <c r="J10" s="16" t="str">
        <f aca="false">IF(COUNTIF(Hitos!$B$4:$B$13,J$7)&gt;0,"◆","")</f>
        <v/>
      </c>
      <c r="K10" s="16" t="str">
        <f aca="false">IF(COUNTIF(Hitos!$B$4:$B$13,K$7)&gt;0,"◆","")</f>
        <v/>
      </c>
      <c r="L10" s="16" t="str">
        <f aca="false">IF(COUNTIF(Hitos!$B$4:$B$13,L$7)&gt;0,"◆","")</f>
        <v/>
      </c>
      <c r="M10" s="16" t="str">
        <f aca="false">IF(COUNTIF(Hitos!$B$4:$B$13,M$7)&gt;0,"◆","")</f>
        <v/>
      </c>
      <c r="N10" s="16" t="str">
        <f aca="false">IF(COUNTIF(Hitos!$B$4:$B$13,N$7)&gt;0,"◆","")</f>
        <v>◆</v>
      </c>
      <c r="O10" s="16" t="str">
        <f aca="false">IF(COUNTIF(Hitos!$B$4:$B$13,O$7)&gt;0,"◆","")</f>
        <v>◆</v>
      </c>
      <c r="P10" s="16" t="str">
        <f aca="false">IF(COUNTIF(Hitos!$B$4:$B$13,P$7)&gt;0,"◆","")</f>
        <v/>
      </c>
      <c r="Q10" s="16" t="str">
        <f aca="false">IF(COUNTIF(Hitos!$B$4:$B$13,Q$7)&gt;0,"◆","")</f>
        <v>◆</v>
      </c>
      <c r="R10" s="16" t="str">
        <f aca="false">IF(COUNTIF(Hitos!$B$4:$B$13,R$7)&gt;0,"◆","")</f>
        <v/>
      </c>
      <c r="S10" s="16" t="str">
        <f aca="false">IF(COUNTIF(Hitos!$B$4:$B$13,S$7)&gt;0,"◆","")</f>
        <v>◆</v>
      </c>
      <c r="T10" s="16" t="str">
        <f aca="false">IF(COUNTIF(Hitos!$B$4:$B$13,T$7)&gt;0,"◆","")</f>
        <v/>
      </c>
      <c r="U10" s="16" t="str">
        <f aca="false">IF(COUNTIF(Hitos!$B$4:$B$13,U$7)&gt;0,"◆","")</f>
        <v>◆</v>
      </c>
      <c r="V10" s="16" t="str">
        <f aca="false">IF(COUNTIF(Hitos!$B$4:$B$13,V$7)&gt;0,"◆","")</f>
        <v>◆</v>
      </c>
      <c r="W10" s="16" t="str">
        <f aca="false">IF(COUNTIF(Hitos!$B$4:$B$13,W$7)&gt;0,"◆","")</f>
        <v/>
      </c>
      <c r="X10" s="16" t="str">
        <f aca="false">IF(COUNTIF(Hitos!$B$4:$B$13,X$7)&gt;0,"◆","")</f>
        <v>◆</v>
      </c>
      <c r="Y10" s="16" t="str">
        <f aca="false">IF(COUNTIF(Hitos!$B$4:$B$13,Y$7)&gt;0,"◆","")</f>
        <v>◆</v>
      </c>
      <c r="Z10" s="16" t="str">
        <f aca="false">IF(COUNTIF(Hitos!$B$4:$B$13,Z$7)&gt;0,"◆","")</f>
        <v>◆</v>
      </c>
      <c r="AA10" s="16" t="str">
        <f aca="false">IF(COUNTIF(Hitos!$B$4:$B$13,AA$7)&gt;0,"◆","")</f>
        <v>◆</v>
      </c>
    </row>
    <row r="11" customFormat="false" ht="16.5" hidden="false" customHeight="true" outlineLevel="0" collapsed="false">
      <c r="A11" s="17" t="n">
        <v>1</v>
      </c>
      <c r="B11" s="18" t="s">
        <v>22</v>
      </c>
      <c r="C11" s="19" t="s">
        <v>23</v>
      </c>
      <c r="D11" s="20" t="s">
        <v>24</v>
      </c>
      <c r="E11" s="21" t="n">
        <v>1</v>
      </c>
      <c r="F11" s="21" t="n">
        <v>3</v>
      </c>
      <c r="G11" s="19" t="s">
        <v>25</v>
      </c>
      <c r="H11" s="20"/>
      <c r="I11" s="19" t="s">
        <v>26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customFormat="false" ht="16.5" hidden="false" customHeight="true" outlineLevel="0" collapsed="false">
      <c r="A12" s="17"/>
      <c r="B12" s="17"/>
      <c r="C12" s="17"/>
      <c r="D12" s="23" t="s">
        <v>27</v>
      </c>
      <c r="E12" s="21" t="n">
        <v>1</v>
      </c>
      <c r="F12" s="21" t="n">
        <v>9</v>
      </c>
      <c r="G12" s="19"/>
      <c r="H12" s="24" t="n">
        <f aca="false">IF(E12="",IF($H$3&gt;E11,$H$3-E11,""),IF(F12&lt;&gt;"",F12-F11,MAX(0,E12-E11,$H$3-F11)))</f>
        <v>6</v>
      </c>
      <c r="I12" s="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customFormat="false" ht="16.5" hidden="false" customHeight="true" outlineLevel="0" collapsed="false">
      <c r="A13" s="17" t="n">
        <v>2</v>
      </c>
      <c r="B13" s="18" t="s">
        <v>28</v>
      </c>
      <c r="C13" s="19" t="s">
        <v>23</v>
      </c>
      <c r="D13" s="20" t="s">
        <v>24</v>
      </c>
      <c r="E13" s="21" t="n">
        <v>2</v>
      </c>
      <c r="F13" s="21" t="n">
        <v>4</v>
      </c>
      <c r="G13" s="19" t="s">
        <v>25</v>
      </c>
      <c r="H13" s="20"/>
      <c r="I13" s="19" t="s">
        <v>29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customFormat="false" ht="16.5" hidden="false" customHeight="true" outlineLevel="0" collapsed="false">
      <c r="A14" s="17"/>
      <c r="B14" s="17"/>
      <c r="C14" s="17"/>
      <c r="D14" s="23" t="s">
        <v>27</v>
      </c>
      <c r="E14" s="21" t="n">
        <v>2</v>
      </c>
      <c r="F14" s="21" t="n">
        <v>7</v>
      </c>
      <c r="G14" s="19"/>
      <c r="H14" s="24" t="n">
        <f aca="false">IF(E14="",IF($H$3&gt;E13,$H$3-E13,""),IF(F14&lt;&gt;"",F14-F13,MAX(0,E14-E13,$H$3-F13)))</f>
        <v>3</v>
      </c>
      <c r="I14" s="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customFormat="false" ht="16.5" hidden="false" customHeight="true" outlineLevel="0" collapsed="false">
      <c r="A15" s="17" t="n">
        <v>3</v>
      </c>
      <c r="B15" s="18" t="s">
        <v>30</v>
      </c>
      <c r="C15" s="19" t="s">
        <v>31</v>
      </c>
      <c r="D15" s="20" t="s">
        <v>24</v>
      </c>
      <c r="E15" s="21" t="n">
        <v>2</v>
      </c>
      <c r="F15" s="21" t="n">
        <v>4</v>
      </c>
      <c r="G15" s="19" t="s">
        <v>32</v>
      </c>
      <c r="H15" s="20"/>
      <c r="I15" s="19" t="s">
        <v>33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customFormat="false" ht="16.5" hidden="false" customHeight="true" outlineLevel="0" collapsed="false">
      <c r="A16" s="17"/>
      <c r="B16" s="17"/>
      <c r="C16" s="17"/>
      <c r="D16" s="23" t="s">
        <v>27</v>
      </c>
      <c r="E16" s="21" t="n">
        <v>2</v>
      </c>
      <c r="F16" s="21"/>
      <c r="G16" s="19"/>
      <c r="H16" s="24" t="n">
        <f aca="false">IF(E16="",IF($H$3&gt;E15,$H$3-E15,""),IF(F16&lt;&gt;"",F16-F15,MAX(0,E16-E15,$H$3-F15)))</f>
        <v>5</v>
      </c>
      <c r="I16" s="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customFormat="false" ht="16.5" hidden="false" customHeight="true" outlineLevel="0" collapsed="false">
      <c r="A17" s="17" t="n">
        <v>4</v>
      </c>
      <c r="B17" s="18" t="s">
        <v>34</v>
      </c>
      <c r="C17" s="19" t="s">
        <v>35</v>
      </c>
      <c r="D17" s="20" t="s">
        <v>24</v>
      </c>
      <c r="E17" s="21" t="n">
        <v>3</v>
      </c>
      <c r="F17" s="21" t="n">
        <v>5</v>
      </c>
      <c r="G17" s="19" t="s">
        <v>36</v>
      </c>
      <c r="H17" s="20"/>
      <c r="I17" s="19" t="s">
        <v>37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customFormat="false" ht="16.5" hidden="false" customHeight="true" outlineLevel="0" collapsed="false">
      <c r="A18" s="17"/>
      <c r="B18" s="17"/>
      <c r="C18" s="17"/>
      <c r="D18" s="23" t="s">
        <v>27</v>
      </c>
      <c r="E18" s="21" t="n">
        <v>3</v>
      </c>
      <c r="F18" s="21" t="n">
        <v>7</v>
      </c>
      <c r="G18" s="19"/>
      <c r="H18" s="24" t="n">
        <f aca="false">IF(E18="",IF($H$3&gt;E17,$H$3-E17,""),IF(F18&lt;&gt;"",F18-F17,MAX(0,E18-E17,$H$3-F17)))</f>
        <v>2</v>
      </c>
      <c r="I18" s="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customFormat="false" ht="16.5" hidden="false" customHeight="true" outlineLevel="0" collapsed="false">
      <c r="A19" s="17" t="n">
        <v>5</v>
      </c>
      <c r="B19" s="18" t="s">
        <v>38</v>
      </c>
      <c r="C19" s="19" t="s">
        <v>39</v>
      </c>
      <c r="D19" s="20" t="s">
        <v>24</v>
      </c>
      <c r="E19" s="21" t="n">
        <v>3</v>
      </c>
      <c r="F19" s="21" t="n">
        <v>6</v>
      </c>
      <c r="G19" s="19" t="s">
        <v>36</v>
      </c>
      <c r="H19" s="20"/>
      <c r="I19" s="19" t="s">
        <v>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customFormat="false" ht="16.5" hidden="false" customHeight="true" outlineLevel="0" collapsed="false">
      <c r="A20" s="17"/>
      <c r="B20" s="17"/>
      <c r="C20" s="17"/>
      <c r="D20" s="23" t="s">
        <v>27</v>
      </c>
      <c r="E20" s="21" t="n">
        <v>3</v>
      </c>
      <c r="F20" s="21" t="n">
        <v>7</v>
      </c>
      <c r="G20" s="19"/>
      <c r="H20" s="24" t="n">
        <f aca="false">IF(E20="",IF($H$3&gt;E19,$H$3-E19,""),IF(F20&lt;&gt;"",F20-F19,MAX(0,E20-E19,$H$3-F19)))</f>
        <v>1</v>
      </c>
      <c r="I20" s="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customFormat="false" ht="16.5" hidden="false" customHeight="true" outlineLevel="0" collapsed="false">
      <c r="A21" s="17" t="n">
        <v>6</v>
      </c>
      <c r="B21" s="18" t="s">
        <v>41</v>
      </c>
      <c r="C21" s="19" t="s">
        <v>42</v>
      </c>
      <c r="D21" s="20" t="s">
        <v>24</v>
      </c>
      <c r="E21" s="21" t="n">
        <v>5</v>
      </c>
      <c r="F21" s="21" t="n">
        <v>10</v>
      </c>
      <c r="G21" s="19" t="s">
        <v>43</v>
      </c>
      <c r="H21" s="20"/>
      <c r="I21" s="19" t="s">
        <v>44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customFormat="false" ht="16.5" hidden="false" customHeight="true" outlineLevel="0" collapsed="false">
      <c r="A22" s="17"/>
      <c r="B22" s="17"/>
      <c r="C22" s="17"/>
      <c r="D22" s="23" t="s">
        <v>27</v>
      </c>
      <c r="E22" s="21" t="n">
        <v>7</v>
      </c>
      <c r="F22" s="21"/>
      <c r="G22" s="19"/>
      <c r="H22" s="24" t="n">
        <f aca="false">IF(E22="",IF($H$3&gt;E21,$H$3-E21,""),IF(F22&lt;&gt;"",F22-F21,MAX(0,E22-E21,$H$3-F21)))</f>
        <v>2</v>
      </c>
      <c r="I22" s="1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customFormat="false" ht="16.5" hidden="false" customHeight="true" outlineLevel="0" collapsed="false">
      <c r="A23" s="17" t="n">
        <v>7</v>
      </c>
      <c r="B23" s="18" t="s">
        <v>45</v>
      </c>
      <c r="C23" s="19" t="s">
        <v>46</v>
      </c>
      <c r="D23" s="20" t="s">
        <v>24</v>
      </c>
      <c r="E23" s="21" t="n">
        <v>8</v>
      </c>
      <c r="F23" s="21" t="n">
        <v>13</v>
      </c>
      <c r="G23" s="19" t="s">
        <v>47</v>
      </c>
      <c r="H23" s="20"/>
      <c r="I23" s="19" t="s">
        <v>48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customFormat="false" ht="16.5" hidden="false" customHeight="true" outlineLevel="0" collapsed="false">
      <c r="A24" s="17"/>
      <c r="B24" s="17"/>
      <c r="C24" s="17"/>
      <c r="D24" s="23" t="s">
        <v>27</v>
      </c>
      <c r="E24" s="21"/>
      <c r="F24" s="21"/>
      <c r="G24" s="19"/>
      <c r="H24" s="24" t="n">
        <f aca="false">IF(E24="",IF($H$3&gt;E23,$H$3-E23,""),IF(F24&lt;&gt;"",F24-F23,MAX(0,E24-E23,$H$3-F23)))</f>
        <v>1</v>
      </c>
      <c r="I24" s="1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customFormat="false" ht="16.5" hidden="false" customHeight="true" outlineLevel="0" collapsed="false">
      <c r="A25" s="17" t="n">
        <v>8</v>
      </c>
      <c r="B25" s="18" t="s">
        <v>49</v>
      </c>
      <c r="C25" s="19" t="s">
        <v>46</v>
      </c>
      <c r="D25" s="20" t="s">
        <v>24</v>
      </c>
      <c r="E25" s="21" t="n">
        <v>10</v>
      </c>
      <c r="F25" s="21" t="n">
        <v>14</v>
      </c>
      <c r="G25" s="19" t="s">
        <v>47</v>
      </c>
      <c r="H25" s="20"/>
      <c r="I25" s="19" t="s">
        <v>50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customFormat="false" ht="16.5" hidden="false" customHeight="true" outlineLevel="0" collapsed="false">
      <c r="A26" s="17"/>
      <c r="B26" s="17"/>
      <c r="C26" s="17"/>
      <c r="D26" s="23" t="s">
        <v>27</v>
      </c>
      <c r="E26" s="21"/>
      <c r="F26" s="21"/>
      <c r="G26" s="19"/>
      <c r="H26" s="24" t="str">
        <f aca="false">IF(E26="",IF($H$3&gt;E25,$H$3-E25,""),IF(F26&lt;&gt;"",F26-F25,MAX(0,E26-E25,$H$3-F25)))</f>
        <v/>
      </c>
      <c r="I26" s="1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customFormat="false" ht="16.5" hidden="false" customHeight="true" outlineLevel="0" collapsed="false">
      <c r="A27" s="17" t="n">
        <v>9</v>
      </c>
      <c r="B27" s="18" t="s">
        <v>51</v>
      </c>
      <c r="C27" s="19" t="s">
        <v>42</v>
      </c>
      <c r="D27" s="20" t="s">
        <v>24</v>
      </c>
      <c r="E27" s="21" t="n">
        <v>9</v>
      </c>
      <c r="F27" s="21" t="n">
        <v>15</v>
      </c>
      <c r="G27" s="19" t="s">
        <v>47</v>
      </c>
      <c r="H27" s="20"/>
      <c r="I27" s="19" t="s">
        <v>52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customFormat="false" ht="16.5" hidden="false" customHeight="true" outlineLevel="0" collapsed="false">
      <c r="A28" s="17"/>
      <c r="B28" s="17"/>
      <c r="C28" s="17"/>
      <c r="D28" s="23" t="s">
        <v>27</v>
      </c>
      <c r="E28" s="21"/>
      <c r="F28" s="21"/>
      <c r="G28" s="19"/>
      <c r="H28" s="24" t="str">
        <f aca="false">IF(E28="",IF($H$3&gt;E27,$H$3-E27,""),IF(F28&lt;&gt;"",F28-F27,MAX(0,E28-E27,$H$3-F27)))</f>
        <v/>
      </c>
      <c r="I28" s="1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customFormat="false" ht="16.5" hidden="false" customHeight="true" outlineLevel="0" collapsed="false">
      <c r="A29" s="17" t="n">
        <v>10</v>
      </c>
      <c r="B29" s="18" t="s">
        <v>53</v>
      </c>
      <c r="C29" s="19" t="s">
        <v>42</v>
      </c>
      <c r="D29" s="20" t="s">
        <v>24</v>
      </c>
      <c r="E29" s="21" t="n">
        <v>13</v>
      </c>
      <c r="F29" s="21" t="n">
        <v>16</v>
      </c>
      <c r="G29" s="19" t="s">
        <v>47</v>
      </c>
      <c r="H29" s="20"/>
      <c r="I29" s="19" t="s">
        <v>54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customFormat="false" ht="16.5" hidden="false" customHeight="true" outlineLevel="0" collapsed="false">
      <c r="A30" s="17"/>
      <c r="B30" s="17"/>
      <c r="C30" s="17"/>
      <c r="D30" s="23" t="s">
        <v>27</v>
      </c>
      <c r="E30" s="21"/>
      <c r="F30" s="21"/>
      <c r="G30" s="19"/>
      <c r="H30" s="24" t="str">
        <f aca="false">IF(E30="",IF($H$3&gt;E29,$H$3-E29,""),IF(F30&lt;&gt;"",F30-F29,MAX(0,E30-E29,$H$3-F29)))</f>
        <v/>
      </c>
      <c r="I30" s="1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customFormat="false" ht="16.5" hidden="false" customHeight="true" outlineLevel="0" collapsed="false">
      <c r="A31" s="17" t="n">
        <v>11</v>
      </c>
      <c r="B31" s="18" t="s">
        <v>55</v>
      </c>
      <c r="C31" s="19" t="s">
        <v>42</v>
      </c>
      <c r="D31" s="20" t="s">
        <v>24</v>
      </c>
      <c r="E31" s="21" t="n">
        <v>16</v>
      </c>
      <c r="F31" s="21" t="n">
        <v>18</v>
      </c>
      <c r="G31" s="19" t="s">
        <v>47</v>
      </c>
      <c r="H31" s="20"/>
      <c r="I31" s="19" t="s">
        <v>56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customFormat="false" ht="16.5" hidden="false" customHeight="true" outlineLevel="0" collapsed="false">
      <c r="A32" s="17"/>
      <c r="B32" s="17"/>
      <c r="C32" s="17"/>
      <c r="D32" s="23" t="s">
        <v>27</v>
      </c>
      <c r="E32" s="21"/>
      <c r="F32" s="21"/>
      <c r="G32" s="19"/>
      <c r="H32" s="24" t="str">
        <f aca="false">IF(E32="",IF($H$3&gt;E31,$H$3-E31,""),IF(F32&lt;&gt;"",F32-F31,MAX(0,E32-E31,$H$3-F31)))</f>
        <v/>
      </c>
      <c r="I32" s="1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4" customFormat="false" ht="25.5" hidden="false" customHeight="true" outlineLevel="0" collapsed="false">
      <c r="A34" s="25" t="s">
        <v>57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</sheetData>
  <mergeCells count="72">
    <mergeCell ref="J4:AA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M6"/>
    <mergeCell ref="N6:X6"/>
    <mergeCell ref="Y6:AA6"/>
    <mergeCell ref="A8:I8"/>
    <mergeCell ref="A9:I9"/>
    <mergeCell ref="A10:I10"/>
    <mergeCell ref="A11:A12"/>
    <mergeCell ref="B11:B12"/>
    <mergeCell ref="C11:C12"/>
    <mergeCell ref="G11:G12"/>
    <mergeCell ref="I11:I12"/>
    <mergeCell ref="A13:A14"/>
    <mergeCell ref="B13:B14"/>
    <mergeCell ref="C13:C14"/>
    <mergeCell ref="G13:G14"/>
    <mergeCell ref="I13:I14"/>
    <mergeCell ref="A15:A16"/>
    <mergeCell ref="B15:B16"/>
    <mergeCell ref="C15:C16"/>
    <mergeCell ref="G15:G16"/>
    <mergeCell ref="I15:I16"/>
    <mergeCell ref="A17:A18"/>
    <mergeCell ref="B17:B18"/>
    <mergeCell ref="C17:C18"/>
    <mergeCell ref="G17:G18"/>
    <mergeCell ref="I17:I18"/>
    <mergeCell ref="A19:A20"/>
    <mergeCell ref="B19:B20"/>
    <mergeCell ref="C19:C20"/>
    <mergeCell ref="G19:G20"/>
    <mergeCell ref="I19:I20"/>
    <mergeCell ref="A21:A22"/>
    <mergeCell ref="B21:B22"/>
    <mergeCell ref="C21:C22"/>
    <mergeCell ref="G21:G22"/>
    <mergeCell ref="I21:I22"/>
    <mergeCell ref="A23:A24"/>
    <mergeCell ref="B23:B24"/>
    <mergeCell ref="C23:C24"/>
    <mergeCell ref="G23:G24"/>
    <mergeCell ref="I23:I24"/>
    <mergeCell ref="A25:A26"/>
    <mergeCell ref="B25:B26"/>
    <mergeCell ref="C25:C26"/>
    <mergeCell ref="G25:G26"/>
    <mergeCell ref="I25:I26"/>
    <mergeCell ref="A27:A28"/>
    <mergeCell ref="B27:B28"/>
    <mergeCell ref="C27:C28"/>
    <mergeCell ref="G27:G28"/>
    <mergeCell ref="I27:I28"/>
    <mergeCell ref="A29:A30"/>
    <mergeCell ref="B29:B30"/>
    <mergeCell ref="C29:C30"/>
    <mergeCell ref="G29:G30"/>
    <mergeCell ref="I29:I30"/>
    <mergeCell ref="A31:A32"/>
    <mergeCell ref="B31:B32"/>
    <mergeCell ref="C31:C32"/>
    <mergeCell ref="G31:G32"/>
    <mergeCell ref="I31:I32"/>
    <mergeCell ref="A34:AA34"/>
  </mergeCells>
  <conditionalFormatting sqref="J11:AA32">
    <cfRule type="expression" priority="2" aboveAverage="0" equalAverage="0" bottom="0" percent="0" rank="0" text="" dxfId="0">
      <formula>AND($D11="Plan",J$7&gt;=$E11,J$7&lt;=$F11)</formula>
    </cfRule>
    <cfRule type="expression" priority="3" aboveAverage="0" equalAverage="0" bottom="0" percent="0" rank="0" text="" dxfId="1">
      <formula>AND($D11="Real",$E11&lt;&gt;"",J$7&gt;=$E11,J$7&lt;=IF($F11="",$H$3,$F11))</formula>
    </cfRule>
  </conditionalFormatting>
  <conditionalFormatting sqref="J7:AA32">
    <cfRule type="expression" priority="4" aboveAverage="0" equalAverage="0" bottom="0" percent="0" rank="0" text="" dxfId="2">
      <formula>J$7=$H$3</formula>
    </cfRule>
  </conditionalFormatting>
  <conditionalFormatting sqref="H11:H32">
    <cfRule type="expression" priority="5" aboveAverage="0" equalAverage="0" bottom="0" percent="0" rank="0" text="" dxfId="3">
      <formula>AND(ISNUMBER(H11),H11&gt;0)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26" t="s">
        <v>58</v>
      </c>
    </row>
    <row r="3" customFormat="false" ht="15" hidden="false" customHeight="false" outlineLevel="0" collapsed="false">
      <c r="A3" s="27" t="s">
        <v>59</v>
      </c>
      <c r="B3" s="27" t="s">
        <v>60</v>
      </c>
      <c r="C3" s="27" t="s">
        <v>61</v>
      </c>
      <c r="D3" s="27" t="s">
        <v>62</v>
      </c>
      <c r="E3" s="27" t="s">
        <v>13</v>
      </c>
      <c r="F3" s="27" t="s">
        <v>63</v>
      </c>
    </row>
    <row r="4" customFormat="false" ht="22.35" hidden="false" customHeight="false" outlineLevel="0" collapsed="false">
      <c r="A4" s="17" t="s">
        <v>64</v>
      </c>
      <c r="B4" s="21" t="n">
        <v>5</v>
      </c>
      <c r="C4" s="28" t="n">
        <f aca="false">'Carta Gantt'!$C$3+7*(B4-1)+5</f>
        <v>46277</v>
      </c>
      <c r="D4" s="19" t="s">
        <v>65</v>
      </c>
      <c r="E4" s="29" t="s">
        <v>66</v>
      </c>
      <c r="F4" s="19" t="s">
        <v>67</v>
      </c>
    </row>
    <row r="5" customFormat="false" ht="15" hidden="false" customHeight="false" outlineLevel="0" collapsed="false">
      <c r="A5" s="17" t="s">
        <v>68</v>
      </c>
      <c r="B5" s="21" t="n">
        <v>6</v>
      </c>
      <c r="C5" s="28" t="n">
        <f aca="false">'Carta Gantt'!$C$3+7*(B5-1)+5</f>
        <v>46284</v>
      </c>
      <c r="D5" s="19" t="s">
        <v>69</v>
      </c>
      <c r="E5" s="29" t="s">
        <v>66</v>
      </c>
      <c r="F5" s="19" t="s">
        <v>70</v>
      </c>
    </row>
    <row r="6" customFormat="false" ht="15" hidden="false" customHeight="false" outlineLevel="0" collapsed="false">
      <c r="A6" s="17" t="s">
        <v>71</v>
      </c>
      <c r="B6" s="21" t="n">
        <v>8</v>
      </c>
      <c r="C6" s="28" t="n">
        <f aca="false">'Carta Gantt'!$C$3+7*(B6-1)+5</f>
        <v>46298</v>
      </c>
      <c r="D6" s="19" t="s">
        <v>72</v>
      </c>
      <c r="E6" s="29" t="s">
        <v>73</v>
      </c>
      <c r="F6" s="19" t="s">
        <v>74</v>
      </c>
    </row>
    <row r="7" customFormat="false" ht="22.35" hidden="false" customHeight="false" outlineLevel="0" collapsed="false">
      <c r="A7" s="17" t="s">
        <v>75</v>
      </c>
      <c r="B7" s="21" t="n">
        <v>10</v>
      </c>
      <c r="C7" s="28" t="n">
        <f aca="false">'Carta Gantt'!$C$3+7*(B7-1)+5</f>
        <v>46312</v>
      </c>
      <c r="D7" s="19" t="s">
        <v>76</v>
      </c>
      <c r="E7" s="29" t="s">
        <v>77</v>
      </c>
      <c r="F7" s="19"/>
    </row>
    <row r="8" customFormat="false" ht="15" hidden="false" customHeight="false" outlineLevel="0" collapsed="false">
      <c r="A8" s="17" t="s">
        <v>78</v>
      </c>
      <c r="B8" s="21" t="n">
        <v>12</v>
      </c>
      <c r="C8" s="28" t="n">
        <f aca="false">'Carta Gantt'!$C$3+7*(B8-1)+5</f>
        <v>46326</v>
      </c>
      <c r="D8" s="19" t="s">
        <v>79</v>
      </c>
      <c r="E8" s="29" t="s">
        <v>77</v>
      </c>
      <c r="F8" s="19" t="s">
        <v>80</v>
      </c>
    </row>
    <row r="9" customFormat="false" ht="15" hidden="false" customHeight="false" outlineLevel="0" collapsed="false">
      <c r="A9" s="17" t="s">
        <v>81</v>
      </c>
      <c r="B9" s="21" t="n">
        <v>13</v>
      </c>
      <c r="C9" s="28" t="n">
        <f aca="false">'Carta Gantt'!$C$3+7*(B9-1)+5</f>
        <v>46333</v>
      </c>
      <c r="D9" s="19" t="s">
        <v>82</v>
      </c>
      <c r="E9" s="29" t="s">
        <v>77</v>
      </c>
      <c r="F9" s="19"/>
    </row>
    <row r="10" customFormat="false" ht="15" hidden="false" customHeight="false" outlineLevel="0" collapsed="false">
      <c r="A10" s="17" t="s">
        <v>83</v>
      </c>
      <c r="B10" s="21" t="n">
        <v>15</v>
      </c>
      <c r="C10" s="28" t="n">
        <f aca="false">'Carta Gantt'!$C$3+7*(B10-1)+5</f>
        <v>46347</v>
      </c>
      <c r="D10" s="19" t="s">
        <v>84</v>
      </c>
      <c r="E10" s="29" t="s">
        <v>77</v>
      </c>
      <c r="F10" s="19"/>
    </row>
    <row r="11" customFormat="false" ht="15" hidden="false" customHeight="false" outlineLevel="0" collapsed="false">
      <c r="A11" s="17" t="s">
        <v>85</v>
      </c>
      <c r="B11" s="21" t="n">
        <v>16</v>
      </c>
      <c r="C11" s="28" t="n">
        <f aca="false">'Carta Gantt'!$C$3+7*(B11-1)+5</f>
        <v>46354</v>
      </c>
      <c r="D11" s="19" t="s">
        <v>86</v>
      </c>
      <c r="E11" s="29" t="s">
        <v>77</v>
      </c>
      <c r="F11" s="19"/>
    </row>
    <row r="12" customFormat="false" ht="15" hidden="false" customHeight="false" outlineLevel="0" collapsed="false">
      <c r="A12" s="17" t="s">
        <v>87</v>
      </c>
      <c r="B12" s="21" t="n">
        <v>17</v>
      </c>
      <c r="C12" s="28" t="n">
        <f aca="false">'Carta Gantt'!$C$3+7*(B12-1)+5</f>
        <v>46361</v>
      </c>
      <c r="D12" s="19" t="s">
        <v>88</v>
      </c>
      <c r="E12" s="29" t="s">
        <v>77</v>
      </c>
      <c r="F12" s="19"/>
    </row>
    <row r="13" customFormat="false" ht="15" hidden="false" customHeight="false" outlineLevel="0" collapsed="false">
      <c r="A13" s="17" t="s">
        <v>89</v>
      </c>
      <c r="B13" s="21" t="n">
        <v>18</v>
      </c>
      <c r="C13" s="28" t="n">
        <f aca="false">'Carta Gantt'!$C$3+7*(B13-1)+5</f>
        <v>46368</v>
      </c>
      <c r="D13" s="19" t="s">
        <v>90</v>
      </c>
      <c r="E13" s="29" t="s">
        <v>77</v>
      </c>
      <c r="F13" s="19"/>
    </row>
    <row r="15" customFormat="false" ht="15" hidden="false" customHeight="false" outlineLevel="0" collapsed="false">
      <c r="A15" s="30" t="s">
        <v>91</v>
      </c>
    </row>
  </sheetData>
  <conditionalFormatting sqref="E4:E13">
    <cfRule type="expression" priority="2" aboveAverage="0" equalAverage="0" bottom="0" percent="0" rank="0" text="" dxfId="4">
      <formula>E4="Cumplido"</formula>
    </cfRule>
    <cfRule type="expression" priority="3" aboveAverage="0" equalAverage="0" bottom="0" percent="0" rank="0" text="" dxfId="5">
      <formula>E4="En curso"</formula>
    </cfRule>
    <cfRule type="expression" priority="4" aboveAverage="0" equalAverage="0" bottom="0" percent="0" rank="0" text="" dxfId="6">
      <formula>E4="Reprogramado"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32"/>
  </cols>
  <sheetData>
    <row r="1" customFormat="false" ht="16.15" hidden="false" customHeight="false" outlineLevel="0" collapsed="false">
      <c r="A1" s="26" t="s">
        <v>92</v>
      </c>
    </row>
    <row r="3" customFormat="false" ht="15" hidden="false" customHeight="false" outlineLevel="0" collapsed="false">
      <c r="A3" s="27" t="s">
        <v>7</v>
      </c>
      <c r="B3" s="27" t="s">
        <v>8</v>
      </c>
      <c r="C3" s="27" t="s">
        <v>62</v>
      </c>
      <c r="D3" s="27" t="s">
        <v>93</v>
      </c>
      <c r="E3" s="27" t="s">
        <v>94</v>
      </c>
      <c r="F3" s="27" t="s">
        <v>9</v>
      </c>
      <c r="G3" s="27" t="s">
        <v>95</v>
      </c>
      <c r="H3" s="27" t="s">
        <v>96</v>
      </c>
    </row>
    <row r="4" customFormat="false" ht="42" hidden="false" customHeight="true" outlineLevel="0" collapsed="false">
      <c r="A4" s="17" t="n">
        <v>1</v>
      </c>
      <c r="B4" s="18" t="s">
        <v>22</v>
      </c>
      <c r="C4" s="19" t="s">
        <v>97</v>
      </c>
      <c r="D4" s="19" t="s">
        <v>98</v>
      </c>
      <c r="E4" s="20" t="str">
        <f aca="false">"S"&amp;'Carta Gantt'!E11&amp;" – S"&amp;'Carta Gantt'!F11</f>
        <v>S1 – S3</v>
      </c>
      <c r="F4" s="19" t="str">
        <f aca="false">'Carta Gantt'!C11</f>
        <v>Fernando / Equipo</v>
      </c>
      <c r="G4" s="19" t="s">
        <v>99</v>
      </c>
      <c r="H4" s="19" t="s">
        <v>100</v>
      </c>
    </row>
    <row r="5" customFormat="false" ht="42" hidden="false" customHeight="true" outlineLevel="0" collapsed="false">
      <c r="A5" s="17" t="n">
        <v>2</v>
      </c>
      <c r="B5" s="18" t="s">
        <v>28</v>
      </c>
      <c r="C5" s="19" t="s">
        <v>101</v>
      </c>
      <c r="D5" s="19" t="s">
        <v>102</v>
      </c>
      <c r="E5" s="20" t="str">
        <f aca="false">"S"&amp;'Carta Gantt'!E13&amp;" – S"&amp;'Carta Gantt'!F13</f>
        <v>S2 – S4</v>
      </c>
      <c r="F5" s="19" t="str">
        <f aca="false">'Carta Gantt'!C13</f>
        <v>Fernando / Equipo</v>
      </c>
      <c r="G5" s="19" t="s">
        <v>103</v>
      </c>
      <c r="H5" s="19" t="s">
        <v>104</v>
      </c>
    </row>
    <row r="6" customFormat="false" ht="42" hidden="false" customHeight="true" outlineLevel="0" collapsed="false">
      <c r="A6" s="17" t="n">
        <v>3</v>
      </c>
      <c r="B6" s="18" t="s">
        <v>30</v>
      </c>
      <c r="C6" s="19" t="s">
        <v>105</v>
      </c>
      <c r="D6" s="19" t="s">
        <v>106</v>
      </c>
      <c r="E6" s="20" t="str">
        <f aca="false">"S"&amp;'Carta Gantt'!E15&amp;" – S"&amp;'Carta Gantt'!F15</f>
        <v>S2 – S4</v>
      </c>
      <c r="F6" s="19" t="str">
        <f aca="false">'Carta Gantt'!C15</f>
        <v>Marcos</v>
      </c>
      <c r="G6" s="19" t="s">
        <v>107</v>
      </c>
      <c r="H6" s="19" t="s">
        <v>108</v>
      </c>
    </row>
    <row r="7" customFormat="false" ht="42" hidden="false" customHeight="true" outlineLevel="0" collapsed="false">
      <c r="A7" s="17" t="n">
        <v>4</v>
      </c>
      <c r="B7" s="18" t="s">
        <v>34</v>
      </c>
      <c r="C7" s="19" t="s">
        <v>109</v>
      </c>
      <c r="D7" s="19" t="s">
        <v>110</v>
      </c>
      <c r="E7" s="20" t="str">
        <f aca="false">"S"&amp;'Carta Gantt'!E17&amp;" – S"&amp;'Carta Gantt'!F17</f>
        <v>S3 – S5</v>
      </c>
      <c r="F7" s="19" t="str">
        <f aca="false">'Carta Gantt'!C17</f>
        <v>Fernando</v>
      </c>
      <c r="G7" s="19" t="s">
        <v>111</v>
      </c>
      <c r="H7" s="19" t="s">
        <v>112</v>
      </c>
    </row>
    <row r="8" customFormat="false" ht="42" hidden="false" customHeight="true" outlineLevel="0" collapsed="false">
      <c r="A8" s="17" t="n">
        <v>5</v>
      </c>
      <c r="B8" s="18" t="s">
        <v>38</v>
      </c>
      <c r="C8" s="19" t="s">
        <v>113</v>
      </c>
      <c r="D8" s="19" t="s">
        <v>114</v>
      </c>
      <c r="E8" s="20" t="str">
        <f aca="false">"S"&amp;'Carta Gantt'!E19&amp;" – S"&amp;'Carta Gantt'!F19</f>
        <v>S3 – S6</v>
      </c>
      <c r="F8" s="19" t="str">
        <f aca="false">'Carta Gantt'!C19</f>
        <v>Nicolás</v>
      </c>
      <c r="G8" s="19" t="s">
        <v>115</v>
      </c>
      <c r="H8" s="19" t="s">
        <v>116</v>
      </c>
    </row>
    <row r="9" customFormat="false" ht="42" hidden="false" customHeight="true" outlineLevel="0" collapsed="false">
      <c r="A9" s="17" t="n">
        <v>6</v>
      </c>
      <c r="B9" s="18" t="s">
        <v>41</v>
      </c>
      <c r="C9" s="19" t="s">
        <v>117</v>
      </c>
      <c r="D9" s="19" t="s">
        <v>118</v>
      </c>
      <c r="E9" s="20" t="str">
        <f aca="false">"S"&amp;'Carta Gantt'!E21&amp;" – S"&amp;'Carta Gantt'!F21</f>
        <v>S5 – S10</v>
      </c>
      <c r="F9" s="19" t="str">
        <f aca="false">'Carta Gantt'!C21</f>
        <v>Equipo</v>
      </c>
      <c r="G9" s="19" t="s">
        <v>119</v>
      </c>
      <c r="H9" s="19" t="s">
        <v>120</v>
      </c>
    </row>
    <row r="10" customFormat="false" ht="42" hidden="false" customHeight="true" outlineLevel="0" collapsed="false">
      <c r="A10" s="17" t="n">
        <v>7</v>
      </c>
      <c r="B10" s="18" t="s">
        <v>45</v>
      </c>
      <c r="C10" s="19" t="s">
        <v>121</v>
      </c>
      <c r="D10" s="19" t="s">
        <v>122</v>
      </c>
      <c r="E10" s="20" t="str">
        <f aca="false">"S"&amp;'Carta Gantt'!E23&amp;" – S"&amp;'Carta Gantt'!F23</f>
        <v>S8 – S13</v>
      </c>
      <c r="F10" s="19" t="str">
        <f aca="false">'Carta Gantt'!C23</f>
        <v>Fernando / Nicolás</v>
      </c>
      <c r="G10" s="19" t="s">
        <v>123</v>
      </c>
      <c r="H10" s="19" t="s">
        <v>124</v>
      </c>
    </row>
    <row r="11" customFormat="false" ht="42" hidden="false" customHeight="true" outlineLevel="0" collapsed="false">
      <c r="A11" s="17" t="n">
        <v>8</v>
      </c>
      <c r="B11" s="18" t="s">
        <v>49</v>
      </c>
      <c r="C11" s="19" t="s">
        <v>125</v>
      </c>
      <c r="D11" s="19" t="s">
        <v>126</v>
      </c>
      <c r="E11" s="20" t="str">
        <f aca="false">"S"&amp;'Carta Gantt'!E25&amp;" – S"&amp;'Carta Gantt'!F25</f>
        <v>S10 – S14</v>
      </c>
      <c r="F11" s="19" t="str">
        <f aca="false">'Carta Gantt'!C25</f>
        <v>Fernando / Nicolás</v>
      </c>
      <c r="G11" s="19" t="s">
        <v>127</v>
      </c>
      <c r="H11" s="19" t="s">
        <v>128</v>
      </c>
    </row>
    <row r="12" customFormat="false" ht="42" hidden="false" customHeight="true" outlineLevel="0" collapsed="false">
      <c r="A12" s="17" t="n">
        <v>9</v>
      </c>
      <c r="B12" s="18" t="s">
        <v>51</v>
      </c>
      <c r="C12" s="19" t="s">
        <v>129</v>
      </c>
      <c r="D12" s="19" t="s">
        <v>130</v>
      </c>
      <c r="E12" s="20" t="str">
        <f aca="false">"S"&amp;'Carta Gantt'!E27&amp;" – S"&amp;'Carta Gantt'!F27</f>
        <v>S9 – S15</v>
      </c>
      <c r="F12" s="19" t="str">
        <f aca="false">'Carta Gantt'!C27</f>
        <v>Equipo</v>
      </c>
      <c r="G12" s="19" t="s">
        <v>131</v>
      </c>
      <c r="H12" s="19" t="s">
        <v>132</v>
      </c>
    </row>
    <row r="13" customFormat="false" ht="42" hidden="false" customHeight="true" outlineLevel="0" collapsed="false">
      <c r="A13" s="17" t="n">
        <v>10</v>
      </c>
      <c r="B13" s="18" t="s">
        <v>53</v>
      </c>
      <c r="C13" s="19" t="s">
        <v>133</v>
      </c>
      <c r="D13" s="19" t="s">
        <v>134</v>
      </c>
      <c r="E13" s="20" t="str">
        <f aca="false">"S"&amp;'Carta Gantt'!E29&amp;" – S"&amp;'Carta Gantt'!F29</f>
        <v>S13 – S16</v>
      </c>
      <c r="F13" s="19" t="str">
        <f aca="false">'Carta Gantt'!C29</f>
        <v>Equipo</v>
      </c>
      <c r="G13" s="19" t="s">
        <v>135</v>
      </c>
      <c r="H13" s="19" t="s">
        <v>136</v>
      </c>
    </row>
    <row r="14" customFormat="false" ht="42" hidden="false" customHeight="true" outlineLevel="0" collapsed="false">
      <c r="A14" s="17" t="n">
        <v>11</v>
      </c>
      <c r="B14" s="18" t="s">
        <v>55</v>
      </c>
      <c r="C14" s="19" t="s">
        <v>137</v>
      </c>
      <c r="D14" s="19" t="s">
        <v>138</v>
      </c>
      <c r="E14" s="20" t="str">
        <f aca="false">"S"&amp;'Carta Gantt'!E31&amp;" – S"&amp;'Carta Gantt'!F31</f>
        <v>S16 – S18</v>
      </c>
      <c r="F14" s="19" t="str">
        <f aca="false">'Carta Gantt'!C31</f>
        <v>Equipo</v>
      </c>
      <c r="G14" s="19" t="s">
        <v>139</v>
      </c>
      <c r="H14" s="1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26" t="s">
        <v>141</v>
      </c>
    </row>
    <row r="3" customFormat="false" ht="15" hidden="false" customHeight="false" outlineLevel="0" collapsed="false">
      <c r="A3" s="27" t="s">
        <v>142</v>
      </c>
      <c r="B3" s="27" t="s">
        <v>94</v>
      </c>
      <c r="C3" s="27" t="s">
        <v>11</v>
      </c>
      <c r="D3" s="27" t="s">
        <v>143</v>
      </c>
      <c r="E3" s="27" t="s">
        <v>144</v>
      </c>
      <c r="F3" s="27" t="s">
        <v>13</v>
      </c>
    </row>
    <row r="4" customFormat="false" ht="15" hidden="false" customHeight="false" outlineLevel="0" collapsed="false">
      <c r="A4" s="20" t="n">
        <v>1</v>
      </c>
      <c r="B4" s="20" t="str">
        <f aca="false">"S"&amp;('Carta Gantt'!$H$4+2*(A4-1))&amp;" – S"&amp;('Carta Gantt'!$H$4+2*(A4-1)+1)</f>
        <v>S7 – S8</v>
      </c>
      <c r="C4" s="28" t="n">
        <f aca="false">'Carta Gantt'!$C$3+7*('Carta Gantt'!$H$4+2*(A4-1)-1)+1</f>
        <v>46287</v>
      </c>
      <c r="D4" s="28" t="n">
        <f aca="false">C4+11</f>
        <v>46298</v>
      </c>
      <c r="E4" s="19" t="s">
        <v>145</v>
      </c>
      <c r="F4" s="20" t="str">
        <f aca="false">IF('Carta Gantt'!$C$4&gt;D4,"Cerrado",IF('Carta Gantt'!$C$4&gt;=C4,"En curso","Planificado"))</f>
        <v>Cerrado</v>
      </c>
    </row>
    <row r="5" customFormat="false" ht="15" hidden="false" customHeight="false" outlineLevel="0" collapsed="false">
      <c r="A5" s="20" t="n">
        <v>2</v>
      </c>
      <c r="B5" s="20" t="str">
        <f aca="false">"S"&amp;('Carta Gantt'!$H$4+2*(A5-1))&amp;" – S"&amp;('Carta Gantt'!$H$4+2*(A5-1)+1)</f>
        <v>S9 – S10</v>
      </c>
      <c r="C5" s="28" t="n">
        <f aca="false">'Carta Gantt'!$C$3+7*('Carta Gantt'!$H$4+2*(A5-1)-1)+1</f>
        <v>46301</v>
      </c>
      <c r="D5" s="28" t="n">
        <f aca="false">C5+11</f>
        <v>46312</v>
      </c>
      <c r="E5" s="19" t="s">
        <v>146</v>
      </c>
      <c r="F5" s="20" t="str">
        <f aca="false">IF('Carta Gantt'!$C$4&gt;D5,"Cerrado",IF('Carta Gantt'!$C$4&gt;=C5,"En curso","Planificado"))</f>
        <v>En curso</v>
      </c>
    </row>
    <row r="6" customFormat="false" ht="15" hidden="false" customHeight="false" outlineLevel="0" collapsed="false">
      <c r="A6" s="20" t="n">
        <v>3</v>
      </c>
      <c r="B6" s="20" t="str">
        <f aca="false">"S"&amp;('Carta Gantt'!$H$4+2*(A6-1))&amp;" – S"&amp;('Carta Gantt'!$H$4+2*(A6-1)+1)</f>
        <v>S11 – S12</v>
      </c>
      <c r="C6" s="28" t="n">
        <f aca="false">'Carta Gantt'!$C$3+7*('Carta Gantt'!$H$4+2*(A6-1)-1)+1</f>
        <v>46315</v>
      </c>
      <c r="D6" s="28" t="n">
        <f aca="false">C6+11</f>
        <v>46326</v>
      </c>
      <c r="E6" s="19" t="s">
        <v>147</v>
      </c>
      <c r="F6" s="20" t="str">
        <f aca="false">IF('Carta Gantt'!$C$4&gt;D6,"Cerrado",IF('Carta Gantt'!$C$4&gt;=C6,"En curso","Planificado"))</f>
        <v>Planificado</v>
      </c>
    </row>
    <row r="7" customFormat="false" ht="15" hidden="false" customHeight="false" outlineLevel="0" collapsed="false">
      <c r="A7" s="20" t="n">
        <v>4</v>
      </c>
      <c r="B7" s="20" t="str">
        <f aca="false">"S"&amp;('Carta Gantt'!$H$4+2*(A7-1))&amp;" – S"&amp;('Carta Gantt'!$H$4+2*(A7-1)+1)</f>
        <v>S13 – S14</v>
      </c>
      <c r="C7" s="28" t="n">
        <f aca="false">'Carta Gantt'!$C$3+7*('Carta Gantt'!$H$4+2*(A7-1)-1)+1</f>
        <v>46329</v>
      </c>
      <c r="D7" s="28" t="n">
        <f aca="false">C7+11</f>
        <v>46340</v>
      </c>
      <c r="E7" s="19" t="s">
        <v>148</v>
      </c>
      <c r="F7" s="20" t="str">
        <f aca="false">IF('Carta Gantt'!$C$4&gt;D7,"Cerrado",IF('Carta Gantt'!$C$4&gt;=C7,"En curso","Planificado"))</f>
        <v>Planificado</v>
      </c>
    </row>
    <row r="8" customFormat="false" ht="15" hidden="false" customHeight="false" outlineLevel="0" collapsed="false">
      <c r="A8" s="20" t="n">
        <v>5</v>
      </c>
      <c r="B8" s="20" t="str">
        <f aca="false">"S"&amp;('Carta Gantt'!$H$4+2*(A8-1))&amp;" – S"&amp;('Carta Gantt'!$H$4+2*(A8-1)+1)</f>
        <v>S15 – S16</v>
      </c>
      <c r="C8" s="28" t="n">
        <f aca="false">'Carta Gantt'!$C$3+7*('Carta Gantt'!$H$4+2*(A8-1)-1)+1</f>
        <v>46343</v>
      </c>
      <c r="D8" s="28" t="n">
        <f aca="false">C8+11</f>
        <v>46354</v>
      </c>
      <c r="E8" s="19" t="s">
        <v>149</v>
      </c>
      <c r="F8" s="20" t="str">
        <f aca="false">IF('Carta Gantt'!$C$4&gt;D8,"Cerrado",IF('Carta Gantt'!$C$4&gt;=C8,"En curso","Planificado"))</f>
        <v>Planificado</v>
      </c>
    </row>
    <row r="10" customFormat="false" ht="15" hidden="false" customHeight="false" outlineLevel="0" collapsed="false">
      <c r="A10" s="3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2026-10-09T20:06:41Z</dcterms:created>
  <dc:creator>openpyxl</dc:creator>
  <dc:description/>
  <dc:language>en-US</dc:language>
  <cp:lastModifiedBy/>
  <dcterms:modified xsi:type="dcterms:W3CDTF">2026-10-09T20:06:41Z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